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/&quot;m"/>
  </numFmts>
  <fonts count="17">
    <font>
      <name val="Arial"/>
      <color rgb="FF000000"/>
      <sz val="10"/>
      <scheme val="minor"/>
    </font>
    <font>
      <name val="&quot;MS Mincho&quot;"/>
      <b val="1"/>
      <color rgb="FFFFFFFF"/>
      <sz val="24"/>
    </font>
    <font/>
    <font>
      <name val="Arial"/>
      <b val="1"/>
      <color theme="1"/>
      <sz val="10"/>
    </font>
    <font>
      <name val="Arial"/>
      <color theme="1"/>
      <sz val="10"/>
    </font>
    <font>
      <name val="Arial"/>
      <color theme="1"/>
      <sz val="9"/>
    </font>
    <font>
      <name val="Arial"/>
      <color rgb="FF1F1F1F"/>
      <sz val="10"/>
    </font>
    <font>
      <name val="Arial"/>
      <b val="1"/>
      <color theme="1"/>
      <sz val="9"/>
    </font>
    <font>
      <name val="Arial"/>
      <b val="1"/>
      <color theme="1"/>
      <sz val="11"/>
    </font>
    <font>
      <name val="Arial"/>
      <b val="1"/>
      <color theme="1"/>
      <sz val="9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cheme val="minor"/>
    </font>
    <font>
      <name val="Arial"/>
      <color theme="1"/>
      <sz val="9"/>
      <scheme val="minor"/>
    </font>
    <font>
      <name val="Arial"/>
      <b val="1"/>
      <color theme="1"/>
      <sz val="19"/>
      <scheme val="minor"/>
    </font>
    <font>
      <name val="Arial"/>
      <color theme="1"/>
      <sz val="12"/>
      <scheme val="minor"/>
    </font>
    <font>
      <name val="Arial"/>
      <b val="1"/>
      <color theme="1"/>
      <sz val="8"/>
      <scheme val="minor"/>
    </font>
  </fonts>
  <fills count="4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49" fontId="3" fillId="3" borderId="3" applyAlignment="1" pivotButton="0" quotePrefix="0" xfId="0">
      <alignment horizontal="center" vertical="center"/>
    </xf>
    <xf numFmtId="0" fontId="2" fillId="0" borderId="4" pivotButton="0" quotePrefix="0" xfId="0"/>
    <xf numFmtId="49" fontId="4" fillId="3" borderId="3" applyAlignment="1" pivotButton="0" quotePrefix="0" xfId="0">
      <alignment horizontal="left" vertical="top"/>
    </xf>
    <xf numFmtId="49" fontId="5" fillId="3" borderId="1" applyAlignment="1" pivotButton="0" quotePrefix="0" xfId="0">
      <alignment horizontal="center" vertical="center"/>
    </xf>
    <xf numFmtId="0" fontId="2" fillId="0" borderId="5" pivotButton="0" quotePrefix="0" xfId="0"/>
    <xf numFmtId="49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49" fontId="5" fillId="3" borderId="1" applyAlignment="1" pivotButton="0" quotePrefix="0" xfId="0">
      <alignment horizontal="center"/>
    </xf>
    <xf numFmtId="49" fontId="7" fillId="3" borderId="10" applyAlignment="1" pivotButton="0" quotePrefix="0" xfId="0">
      <alignment horizontal="center" vertical="center"/>
    </xf>
    <xf numFmtId="49" fontId="8" fillId="0" borderId="9" applyAlignment="1" pivotButton="0" quotePrefix="0" xfId="0">
      <alignment horizontal="center" vertical="center"/>
    </xf>
    <xf numFmtId="49" fontId="4" fillId="3" borderId="11" applyAlignment="1" pivotButton="0" quotePrefix="0" xfId="0">
      <alignment vertical="top" wrapText="1"/>
    </xf>
    <xf numFmtId="0" fontId="2" fillId="0" borderId="11" pivotButton="0" quotePrefix="0" xfId="0"/>
    <xf numFmtId="0" fontId="2" fillId="0" borderId="12" pivotButton="0" quotePrefix="0" xfId="0"/>
    <xf numFmtId="49" fontId="4" fillId="0" borderId="11" applyAlignment="1" pivotButton="0" quotePrefix="0" xfId="0">
      <alignment vertical="top"/>
    </xf>
    <xf numFmtId="49" fontId="8" fillId="0" borderId="9" applyAlignment="1" pivotButton="0" quotePrefix="0" xfId="0">
      <alignment horizontal="center" vertical="center"/>
    </xf>
    <xf numFmtId="49" fontId="8" fillId="0" borderId="9" applyAlignment="1" pivotButton="0" quotePrefix="0" xfId="0">
      <alignment horizontal="center" vertical="center" wrapText="1"/>
    </xf>
    <xf numFmtId="49" fontId="4" fillId="0" borderId="11" applyAlignment="1" pivotButton="0" quotePrefix="0" xfId="0">
      <alignment vertical="top" wrapText="1"/>
    </xf>
    <xf numFmtId="0" fontId="2" fillId="0" borderId="13" pivotButton="0" quotePrefix="0" xfId="0"/>
    <xf numFmtId="49" fontId="8" fillId="0" borderId="9" applyAlignment="1" pivotButton="0" quotePrefix="0" xfId="0">
      <alignment horizontal="center" vertical="center" wrapText="1"/>
    </xf>
    <xf numFmtId="49" fontId="7" fillId="3" borderId="8" applyAlignment="1" pivotButton="0" quotePrefix="0" xfId="0">
      <alignment horizontal="center" vertical="center"/>
    </xf>
    <xf numFmtId="49" fontId="4" fillId="0" borderId="11" applyAlignment="1" pivotButton="0" quotePrefix="0" xfId="0">
      <alignment vertical="top"/>
    </xf>
    <xf numFmtId="49" fontId="9" fillId="3" borderId="8" applyAlignment="1" pivotButton="0" quotePrefix="0" xfId="0">
      <alignment horizontal="center" vertical="center"/>
    </xf>
    <xf numFmtId="49" fontId="10" fillId="0" borderId="11" applyAlignment="1" pivotButton="0" quotePrefix="0" xfId="0">
      <alignment vertical="top" wrapText="1"/>
    </xf>
    <xf numFmtId="49" fontId="9" fillId="3" borderId="13" applyAlignment="1" pivotButton="0" quotePrefix="0" xfId="0">
      <alignment horizontal="center" vertical="center"/>
    </xf>
    <xf numFmtId="49" fontId="9" fillId="3" borderId="9" applyAlignment="1" pivotButton="0" quotePrefix="0" xfId="0">
      <alignment horizontal="center" vertical="center" wrapText="1"/>
    </xf>
    <xf numFmtId="49" fontId="11" fillId="3" borderId="9" applyAlignment="1" pivotButton="0" quotePrefix="0" xfId="0">
      <alignment horizontal="center" vertical="center" wrapText="1"/>
    </xf>
    <xf numFmtId="49" fontId="9" fillId="3" borderId="9" applyAlignment="1" pivotButton="0" quotePrefix="0" xfId="0">
      <alignment horizontal="center" vertical="center" wrapText="1"/>
    </xf>
    <xf numFmtId="49" fontId="9" fillId="3" borderId="9" applyAlignment="1" pivotButton="0" quotePrefix="0" xfId="0">
      <alignment horizontal="center" vertical="center"/>
    </xf>
    <xf numFmtId="49" fontId="9" fillId="3" borderId="9" applyAlignment="1" pivotButton="0" quotePrefix="0" xfId="0">
      <alignment horizontal="center" vertical="center"/>
    </xf>
    <xf numFmtId="49" fontId="10" fillId="3" borderId="9" applyAlignment="1" pivotButton="0" quotePrefix="0" xfId="0">
      <alignment horizontal="center" vertical="center"/>
    </xf>
    <xf numFmtId="49" fontId="12" fillId="0" borderId="9" applyAlignment="1" pivotButton="0" quotePrefix="0" xfId="0">
      <alignment vertical="top" wrapText="1"/>
    </xf>
    <xf numFmtId="49" fontId="13" fillId="0" borderId="9" applyAlignment="1" pivotButton="0" quotePrefix="0" xfId="0">
      <alignment horizontal="left" vertical="top" wrapText="1"/>
    </xf>
    <xf numFmtId="49" fontId="14" fillId="0" borderId="9" applyAlignment="1" pivotButton="0" quotePrefix="0" xfId="0">
      <alignment horizontal="center" vertical="center"/>
    </xf>
    <xf numFmtId="49" fontId="9" fillId="3" borderId="13" applyAlignment="1" pivotButton="0" quotePrefix="0" xfId="0">
      <alignment horizontal="center" vertical="center"/>
    </xf>
    <xf numFmtId="49" fontId="15" fillId="0" borderId="9" applyAlignment="1" pivotButton="0" quotePrefix="0" xfId="0">
      <alignment vertical="center"/>
    </xf>
    <xf numFmtId="49" fontId="12" fillId="0" borderId="9" applyAlignment="1" pivotButton="0" quotePrefix="0" xfId="0">
      <alignment vertical="top" wrapText="1"/>
    </xf>
    <xf numFmtId="49" fontId="10" fillId="3" borderId="9" applyAlignment="1" pivotButton="0" quotePrefix="0" xfId="0">
      <alignment horizontal="center" vertical="center"/>
    </xf>
    <xf numFmtId="49" fontId="16" fillId="0" borderId="9" applyAlignment="1" pivotButton="0" quotePrefix="0" xfId="0">
      <alignment horizontal="center" vertical="center"/>
    </xf>
    <xf numFmtId="0" fontId="10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49" fontId="3" fillId="3" borderId="14" applyAlignment="1" pivotButton="0" quotePrefix="0" xfId="0">
      <alignment horizontal="center" vertical="center"/>
    </xf>
    <xf numFmtId="0" fontId="0" fillId="0" borderId="4" pivotButton="0" quotePrefix="0" xfId="0"/>
    <xf numFmtId="49" fontId="4" fillId="3" borderId="14" applyAlignment="1" pivotButton="0" quotePrefix="0" xfId="0">
      <alignment horizontal="left" vertical="top"/>
    </xf>
    <xf numFmtId="49" fontId="5" fillId="3" borderId="14" applyAlignment="1" pivotButton="0" quotePrefix="0" xfId="0">
      <alignment horizontal="center" vertical="center"/>
    </xf>
    <xf numFmtId="0" fontId="0" fillId="0" borderId="5" pivotButton="0" quotePrefix="0" xfId="0"/>
    <xf numFmtId="49" fontId="6" fillId="3" borderId="14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4" fillId="3" borderId="14" applyAlignment="1" pivotButton="0" quotePrefix="0" xfId="0">
      <alignment horizontal="center"/>
    </xf>
    <xf numFmtId="0" fontId="4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49" fontId="5" fillId="3" borderId="14" applyAlignment="1" pivotButton="0" quotePrefix="0" xfId="0">
      <alignment horizontal="center"/>
    </xf>
    <xf numFmtId="49" fontId="7" fillId="3" borderId="14" applyAlignment="1" pivotButton="0" quotePrefix="0" xfId="0">
      <alignment horizontal="center" vertical="center"/>
    </xf>
    <xf numFmtId="49" fontId="4" fillId="3" borderId="9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49" fontId="4" fillId="0" borderId="9" applyAlignment="1" pivotButton="0" quotePrefix="0" xfId="0">
      <alignment vertical="top"/>
    </xf>
    <xf numFmtId="49" fontId="4" fillId="0" borderId="9" applyAlignment="1" pivotButton="0" quotePrefix="0" xfId="0">
      <alignment vertical="top" wrapText="1"/>
    </xf>
    <xf numFmtId="0" fontId="0" fillId="0" borderId="13" pivotButton="0" quotePrefix="0" xfId="0"/>
    <xf numFmtId="49" fontId="7" fillId="3" borderId="13" applyAlignment="1" pivotButton="0" quotePrefix="0" xfId="0">
      <alignment horizontal="center" vertical="center"/>
    </xf>
    <xf numFmtId="49" fontId="10" fillId="0" borderId="9" applyAlignment="1" pivotButton="0" quotePrefix="0" xfId="0">
      <alignment vertical="top" wrapText="1"/>
    </xf>
    <xf numFmtId="0" fontId="9" fillId="3" borderId="13" applyAlignment="1" pivotButton="0" quotePrefix="0" xfId="0">
      <alignment horizontal="center" vertical="center"/>
    </xf>
    <xf numFmtId="0" fontId="12" fillId="0" borderId="9" applyAlignment="1" pivotButton="0" quotePrefix="0" xfId="0">
      <alignment vertical="top" wrapText="1"/>
    </xf>
    <xf numFmtId="0" fontId="13" fillId="0" borderId="9" applyAlignment="1" pivotButton="0" quotePrefix="0" xfId="0">
      <alignment horizontal="left" vertical="top" wrapText="1"/>
    </xf>
    <xf numFmtId="0" fontId="14" fillId="0" borderId="9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26"/>
  <sheetViews>
    <sheetView workbookViewId="0">
      <selection activeCell="A1" sqref="A1"/>
    </sheetView>
  </sheetViews>
  <sheetFormatPr baseColWidth="8" defaultColWidth="12.63" defaultRowHeight="15.75" customHeight="1"/>
  <cols>
    <col width="3.75" customWidth="1" style="49" min="1" max="1"/>
    <col width="9.880000000000001" customWidth="1" style="49" min="2" max="2"/>
    <col width="87.25" customWidth="1" style="49" min="3" max="3"/>
    <col width="8" customWidth="1" style="49" min="4" max="4"/>
    <col width="14.75" customWidth="1" style="49" min="5" max="5"/>
    <col width="4" customWidth="1" style="49" min="6" max="8"/>
    <col width="4.38" customWidth="1" style="49" min="9" max="9"/>
    <col width="4" customWidth="1" style="49" min="10" max="10"/>
    <col width="5.5" customWidth="1" style="49" min="11" max="11"/>
    <col width="4" customWidth="1" style="49" min="12" max="12"/>
  </cols>
  <sheetData>
    <row r="1">
      <c r="A1" s="1" t="inlineStr">
        <is>
          <t>SKILL SHEET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</row>
    <row r="2" ht="18" customHeight="1" s="49">
      <c r="A2" s="51" t="inlineStr">
        <is>
          <t>職務概要</t>
        </is>
      </c>
      <c r="B2" s="52" t="n"/>
      <c r="C2" s="53" t="inlineStr">
        <is>
          <t>インフラエンジニア: 2年間経験
ソフトエンジニア: 7年間経験
プロジェクトリーダー: 3年間経験
テクニカルサポートエンジニア: 約1年経験
Solutions Architect: 現在</t>
        </is>
      </c>
      <c r="D2" s="52" t="n"/>
      <c r="E2" s="54" t="inlineStr">
        <is>
          <t>氏名</t>
        </is>
      </c>
      <c r="F2" s="55" t="n"/>
      <c r="G2" s="56" t="inlineStr">
        <is>
          <t>Y.K</t>
        </is>
      </c>
      <c r="H2" s="55" t="n"/>
      <c r="I2" s="56" t="inlineStr">
        <is>
          <t>作成日</t>
        </is>
      </c>
      <c r="J2" s="55" t="n"/>
      <c r="K2" s="57" t="n">
        <v>45818</v>
      </c>
      <c r="L2" s="55" t="n"/>
    </row>
    <row r="3" ht="18" customHeight="1" s="49">
      <c r="A3" s="58" t="n"/>
      <c r="B3" s="59" t="n"/>
      <c r="C3" s="58" t="n"/>
      <c r="D3" s="59" t="n"/>
      <c r="E3" s="60" t="inlineStr">
        <is>
          <t xml:space="preserve">性別	</t>
        </is>
      </c>
      <c r="F3" s="55" t="n"/>
      <c r="G3" s="60" t="inlineStr">
        <is>
          <t>男性</t>
        </is>
      </c>
      <c r="H3" s="55" t="n"/>
      <c r="I3" s="56" t="inlineStr">
        <is>
          <t xml:space="preserve">年齢	</t>
        </is>
      </c>
      <c r="J3" s="55" t="n"/>
      <c r="K3" s="61" t="n">
        <v>34</v>
      </c>
      <c r="L3" s="55" t="n"/>
    </row>
    <row r="4" ht="18" customHeight="1" s="49">
      <c r="A4" s="62" t="n"/>
      <c r="B4" s="63" t="n"/>
      <c r="C4" s="62" t="n"/>
      <c r="D4" s="63" t="n"/>
      <c r="E4" s="64" t="inlineStr">
        <is>
          <t>最寄駅</t>
        </is>
      </c>
      <c r="F4" s="55" t="n"/>
      <c r="G4" s="61" t="inlineStr">
        <is>
          <t>-</t>
        </is>
      </c>
      <c r="H4" s="50" t="n"/>
      <c r="I4" s="50" t="n"/>
      <c r="J4" s="50" t="n"/>
      <c r="K4" s="50" t="n"/>
      <c r="L4" s="55" t="n"/>
    </row>
    <row r="5">
      <c r="A5" s="65" t="inlineStr">
        <is>
          <t>保有
技術</t>
        </is>
      </c>
      <c r="B5" s="24" t="inlineStr">
        <is>
          <t>言語</t>
        </is>
      </c>
      <c r="C5" s="66" t="inlineStr">
        <is>
          <t xml:space="preserve">Python, PHP, NodeJS(Typescript), SQL, Javascript, JQuery, HTML
</t>
        </is>
      </c>
      <c r="D5" s="67" t="n"/>
      <c r="E5" s="67" t="n"/>
      <c r="F5" s="67" t="n"/>
      <c r="G5" s="67" t="n"/>
      <c r="H5" s="67" t="n"/>
      <c r="I5" s="67" t="n"/>
      <c r="J5" s="67" t="n"/>
      <c r="K5" s="67" t="n"/>
      <c r="L5" s="63" t="n"/>
    </row>
    <row r="6">
      <c r="A6" s="68" t="n"/>
      <c r="B6" s="24" t="inlineStr">
        <is>
          <t>FW</t>
        </is>
      </c>
      <c r="C6" s="69" t="inlineStr">
        <is>
          <t>FastAPI, Flask, Yii, NestJS, React</t>
        </is>
      </c>
      <c r="D6" s="67" t="n"/>
      <c r="E6" s="67" t="n"/>
      <c r="F6" s="67" t="n"/>
      <c r="G6" s="67" t="n"/>
      <c r="H6" s="67" t="n"/>
      <c r="I6" s="67" t="n"/>
      <c r="J6" s="67" t="n"/>
      <c r="K6" s="67" t="n"/>
      <c r="L6" s="63" t="n"/>
    </row>
    <row r="7">
      <c r="A7" s="68" t="n"/>
      <c r="B7" s="24" t="inlineStr">
        <is>
          <t>DB
MW</t>
        </is>
      </c>
      <c r="C7" s="69" t="inlineStr">
        <is>
          <t>MySQL, DynamoDB, Snowflake, Redshift, Bigquery
Apache, Nginx</t>
        </is>
      </c>
      <c r="D7" s="67" t="n"/>
      <c r="E7" s="67" t="n"/>
      <c r="F7" s="67" t="n"/>
      <c r="G7" s="67" t="n"/>
      <c r="H7" s="67" t="n"/>
      <c r="I7" s="67" t="n"/>
      <c r="J7" s="67" t="n"/>
      <c r="K7" s="67" t="n"/>
      <c r="L7" s="63" t="n"/>
    </row>
    <row r="8">
      <c r="A8" s="68" t="n"/>
      <c r="B8" s="28" t="inlineStr">
        <is>
          <t>Cloud</t>
        </is>
      </c>
      <c r="C8" s="70" t="inlineStr">
        <is>
          <t>AWS: Lambda, DynamoDB, RDS, API GW, Redshift, Glue, Step function
GCP: Firebase, Cloud Run, Firestore, Cloud Functions, Bigquery, Cloud SQL
Azure: App Service, Functions, Azure DevOps, Container Apps</t>
        </is>
      </c>
      <c r="D8" s="67" t="n"/>
      <c r="E8" s="67" t="n"/>
      <c r="F8" s="67" t="n"/>
      <c r="G8" s="67" t="n"/>
      <c r="H8" s="67" t="n"/>
      <c r="I8" s="67" t="n"/>
      <c r="J8" s="67" t="n"/>
      <c r="K8" s="67" t="n"/>
      <c r="L8" s="63" t="n"/>
    </row>
    <row r="9">
      <c r="A9" s="68" t="n"/>
      <c r="B9" s="28" t="inlineStr">
        <is>
          <t>AI</t>
        </is>
      </c>
      <c r="C9" s="70" t="inlineStr">
        <is>
          <t>Claude code
Codex</t>
        </is>
      </c>
      <c r="D9" s="67" t="n"/>
      <c r="E9" s="67" t="n"/>
      <c r="F9" s="67" t="n"/>
      <c r="G9" s="67" t="n"/>
      <c r="H9" s="67" t="n"/>
      <c r="I9" s="67" t="n"/>
      <c r="J9" s="67" t="n"/>
      <c r="K9" s="67" t="n"/>
      <c r="L9" s="63" t="n"/>
    </row>
    <row r="10">
      <c r="A10" s="71" t="n"/>
      <c r="B10" s="28" t="inlineStr">
        <is>
          <t>ツール
その他</t>
        </is>
      </c>
      <c r="C10" s="70" t="inlineStr">
        <is>
          <t>Docker
Backlog, Notion, Linear
Github
Loocker Studio
GA4(Google Analytics)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3" t="n"/>
    </row>
    <row r="11">
      <c r="A11" s="72" t="inlineStr">
        <is>
          <t>資格</t>
        </is>
      </c>
      <c r="B11" s="63" t="n"/>
      <c r="C11" s="69" t="inlineStr">
        <is>
          <t>AZ-900 Microsoft Azure Fundamentals</t>
        </is>
      </c>
      <c r="D11" s="67" t="n"/>
      <c r="E11" s="67" t="n"/>
      <c r="F11" s="67" t="n"/>
      <c r="G11" s="67" t="n"/>
      <c r="H11" s="67" t="n"/>
      <c r="I11" s="67" t="n"/>
      <c r="J11" s="67" t="n"/>
      <c r="K11" s="67" t="n"/>
      <c r="L11" s="63" t="n"/>
    </row>
    <row r="12">
      <c r="A12" s="72" t="inlineStr">
        <is>
          <t>得意分野</t>
        </is>
      </c>
      <c r="B12" s="63" t="n"/>
      <c r="C12" s="70" t="inlineStr">
        <is>
          <t>アーキテクチャ設計、バックエンド開発</t>
        </is>
      </c>
      <c r="D12" s="67" t="n"/>
      <c r="E12" s="67" t="n"/>
      <c r="F12" s="67" t="n"/>
      <c r="G12" s="67" t="n"/>
      <c r="H12" s="67" t="n"/>
      <c r="I12" s="67" t="n"/>
      <c r="J12" s="67" t="n"/>
      <c r="K12" s="67" t="n"/>
      <c r="L12" s="63" t="n"/>
    </row>
    <row r="13">
      <c r="A13" s="43" t="inlineStr">
        <is>
          <t>自己PR</t>
        </is>
      </c>
      <c r="B13" s="63" t="n"/>
      <c r="C13" s="73" t="inlineStr">
        <is>
          <t>コミュニケーションを大切にし、チーム内の連携を円滑に進めることができます。プログラミング言語の習得に加え、日々自学習を通して自己研鑽を続けています。これまで様々な企業での就業経験を通じて、柔軟な対応力や課題解決力を身につけてきました。これらの経験とスキルを活かし、貴社に貢献できるよう努めてまいります。</t>
        </is>
      </c>
      <c r="D13" s="67" t="n"/>
      <c r="E13" s="67" t="n"/>
      <c r="F13" s="67" t="n"/>
      <c r="G13" s="67" t="n"/>
      <c r="H13" s="67" t="n"/>
      <c r="I13" s="67" t="n"/>
      <c r="J13" s="67" t="n"/>
      <c r="K13" s="67" t="n"/>
      <c r="L13" s="63" t="n"/>
    </row>
    <row r="14">
      <c r="A14" s="43" t="inlineStr">
        <is>
          <t>＃</t>
        </is>
      </c>
      <c r="B14" s="36" t="inlineStr">
        <is>
          <t>期間
（稼動）</t>
        </is>
      </c>
      <c r="C14" s="35" t="inlineStr">
        <is>
          <t>企業・役割・作業概要</t>
        </is>
      </c>
      <c r="D14" s="36" t="inlineStr">
        <is>
          <t>役割
体制</t>
        </is>
      </c>
      <c r="E14" s="36" t="inlineStr">
        <is>
          <t>環境</t>
        </is>
      </c>
      <c r="F14" s="38" t="inlineStr">
        <is>
          <t>調査
分析</t>
        </is>
      </c>
      <c r="G14" s="38" t="inlineStr">
        <is>
          <t>要件
定義</t>
        </is>
      </c>
      <c r="H14" s="38" t="inlineStr">
        <is>
          <t>基本
設計</t>
        </is>
      </c>
      <c r="I14" s="38" t="inlineStr">
        <is>
          <t>詳細
設計</t>
        </is>
      </c>
      <c r="J14" s="38" t="inlineStr">
        <is>
          <t>実装
単体</t>
        </is>
      </c>
      <c r="K14" s="38" t="inlineStr">
        <is>
          <t>テスト</t>
        </is>
      </c>
      <c r="L14" s="38" t="inlineStr">
        <is>
          <t>保守
運用</t>
        </is>
      </c>
    </row>
    <row r="15">
      <c r="A15" s="74" t="inlineStr">
        <is>
          <t>0</t>
        </is>
      </c>
      <c r="B15" s="48" t="inlineStr">
        <is>
          <t>現在
↑
2026年1月</t>
        </is>
      </c>
      <c r="C15" s="75" t="inlineStr">
        <is>
          <t>Jitera 株式会社
Solutions Architect
作業概要
　顧客開拓・業務理解・提案を通じた営業フロー全体の遂行
　Google Cloud（Cloud Run, Cloud SQL, Cloud Armor, Cloud Identity Platform, IAP, WAF）を活用した
　　マルチテナント対応クラウドアーキテクチャの設計・実装
　Anthropic API を活用した生成AI アプリケーション開発
　Langfuse によるプロンプト監視・分析・最適化
　ピープルマネジメント・タスク管理・スケジュール管理による組織横断的な案件推進
　顧客との合意形成によるリリース・本番運用までの責務遂行</t>
        </is>
      </c>
      <c r="D15" s="76" t="inlineStr">
        <is>
          <t>役割: SA
体制: 5名</t>
        </is>
      </c>
      <c r="E15" s="76" t="inlineStr">
        <is>
          <t>Google Cloud
  Cloud Run
  Cloud SQL
  Cloud Armor
  Cloud Identity Platform
  IAP
  WAF
Anthropic API
Langfuse
Python
TypeScript</t>
        </is>
      </c>
      <c r="F15" s="77" t="inlineStr">
        <is>
          <t>●</t>
        </is>
      </c>
      <c r="G15" s="77" t="inlineStr">
        <is>
          <t>●</t>
        </is>
      </c>
      <c r="H15" s="77" t="inlineStr">
        <is>
          <t>●</t>
        </is>
      </c>
      <c r="I15" s="77" t="inlineStr">
        <is>
          <t>●</t>
        </is>
      </c>
      <c r="J15" s="77" t="inlineStr">
        <is>
          <t>●</t>
        </is>
      </c>
      <c r="K15" s="77" t="inlineStr">
        <is>
          <t>●</t>
        </is>
      </c>
      <c r="L15" s="77" t="n"/>
    </row>
    <row r="16">
      <c r="A16" s="43" t="inlineStr">
        <is>
          <t>1</t>
        </is>
      </c>
      <c r="B16" s="46" t="inlineStr">
        <is>
          <t>現在
↑
2024年4月
14ヶ月</t>
        </is>
      </c>
      <c r="C16" s="45" t="inlineStr">
        <is>
          <t>株式会社ジェーエムエーシステムズ
ソフトウェアエンジニア
作業概要
　AWSを使用したデータ分析基盤の構築 （ウォータフォール開発）
　AWS CDK を使用したインフラ構築のIaC化することで開発・運用コストを 50% の削減
　Code Commit を使用した CI/CD を構築しテスト工数を 40% 削減</t>
        </is>
      </c>
      <c r="D16" s="41" t="inlineStr">
        <is>
          <t>役割: PG
体制: 5名</t>
        </is>
      </c>
      <c r="E16" s="41" t="inlineStr">
        <is>
          <t>AWS
  Glue
  S3
  Step Functions
  cloudwatch
  Lambda
  Redshift
  code commit
  code build
  code deploy
  code pipeline
  QuickSight
Python 3.9, 3.10
AWS CDK</t>
        </is>
      </c>
      <c r="F16" s="42" t="inlineStr">
        <is>
          <t>●</t>
        </is>
      </c>
      <c r="G16" s="42" t="inlineStr">
        <is>
          <t>●</t>
        </is>
      </c>
      <c r="H16" s="42" t="inlineStr">
        <is>
          <t>●</t>
        </is>
      </c>
      <c r="I16" s="42" t="inlineStr">
        <is>
          <t>●</t>
        </is>
      </c>
      <c r="J16" s="42" t="inlineStr">
        <is>
          <t>●</t>
        </is>
      </c>
      <c r="K16" s="42" t="inlineStr">
        <is>
          <t>●</t>
        </is>
      </c>
      <c r="L16" s="42" t="inlineStr">
        <is>
          <t>●</t>
        </is>
      </c>
    </row>
    <row r="17">
      <c r="A17" s="43">
        <f>A15+1</f>
        <v/>
      </c>
      <c r="B17" s="46" t="inlineStr">
        <is>
          <t>2024年3月
↑
2024年2月
2ヶ月</t>
        </is>
      </c>
      <c r="C17" s="45" t="inlineStr">
        <is>
          <t>富士通株式会社
ソフトウェアエンジニア
作業概要
　保険会社向けデータ分析基盤の構築（スクラム開発: 2週間スプリント）
　バッチ処理のチューニングを実施して、10 min から 4 min に改善</t>
        </is>
      </c>
      <c r="D17" s="41" t="inlineStr">
        <is>
          <t>役割: SE
体制: 13名</t>
        </is>
      </c>
      <c r="E17" s="41" t="inlineStr">
        <is>
          <t>Python3.11
Snowflake
AWS
  Lambda
  Glue
  Step function</t>
        </is>
      </c>
      <c r="F17" s="44" t="n"/>
      <c r="G17" s="44" t="n"/>
      <c r="H17" s="44" t="n"/>
      <c r="I17" s="44" t="n"/>
      <c r="J17" s="42" t="inlineStr">
        <is>
          <t>●</t>
        </is>
      </c>
      <c r="K17" s="42" t="inlineStr">
        <is>
          <t>●</t>
        </is>
      </c>
      <c r="L17" s="42" t="inlineStr">
        <is>
          <t>●</t>
        </is>
      </c>
    </row>
    <row r="18">
      <c r="A18" s="43">
        <f>A16+1</f>
        <v/>
      </c>
      <c r="B18" s="46" t="inlineStr">
        <is>
          <t>2024年9月
↑
2021年9月
31ヶ月</t>
        </is>
      </c>
      <c r="C18" s="45" t="inlineStr">
        <is>
          <t>株式会社ワンストップ・イノベーションHR
ソフトウェアエンジニア
作業概要
　印鑑会社のECサイトの開発及び分析基盤の構築(DB設計、ソフトウェアデザインとアーキテクチャ)
　ECサイトのWebサイトのパフォーマンスチューニングを実施して 60 sec から 2 sec に改善
　IaC でのインフラ構築で開発・及び運用コストを 70% 以上削減
　SQL のチューニングにより、分析用データ表示を 100 sec から 10 sec に改善</t>
        </is>
      </c>
      <c r="D18" s="41" t="inlineStr">
        <is>
          <t>役割: SE
体制: 4名</t>
        </is>
      </c>
      <c r="E18" s="41" t="inlineStr">
        <is>
          <t>PHP7.0
MySQL5.6
MySQL8.0
Apache
Docker
AWS
  RDS
  Lambda
  EC2
  VPC
  Redshift
  Glue
Looker Studio</t>
        </is>
      </c>
      <c r="F18" s="42" t="inlineStr">
        <is>
          <t>●</t>
        </is>
      </c>
      <c r="G18" s="42" t="inlineStr">
        <is>
          <t>●</t>
        </is>
      </c>
      <c r="H18" s="42" t="inlineStr">
        <is>
          <t>●</t>
        </is>
      </c>
      <c r="I18" s="42" t="inlineStr">
        <is>
          <t>●</t>
        </is>
      </c>
      <c r="J18" s="42" t="inlineStr">
        <is>
          <t>●</t>
        </is>
      </c>
      <c r="K18" s="42" t="inlineStr">
        <is>
          <t>●</t>
        </is>
      </c>
      <c r="L18" s="42" t="inlineStr">
        <is>
          <t>●</t>
        </is>
      </c>
    </row>
    <row r="19">
      <c r="A19" s="43">
        <f>A17+1</f>
        <v/>
      </c>
      <c r="B19" s="46" t="inlineStr">
        <is>
          <t>2023年12月
↑
2023年6月
7ヶ月</t>
        </is>
      </c>
      <c r="C19" s="45" t="inlineStr">
        <is>
          <t>株式会社テックドクター
バックエンドエンジニア
作業概要
　医療系ＡＩのクライアント側のバックエンドを開発（スクラム開発: 2週間スプリント）(DB設計、ソフトウェアデザインとアーキテクチャ)
　アーキテクチャ( DDD )選定から導入
　テスト駆動設計を導入し、カバレッジを 0% から 80% に改善
　ドキュメントの整備を実施し、属人化をなくすことによりコストを削減</t>
        </is>
      </c>
      <c r="D19" s="41" t="inlineStr">
        <is>
          <t>役割: PG
体制: 6名</t>
        </is>
      </c>
      <c r="E19" s="41" t="inlineStr">
        <is>
          <t>Python3.8
FastAPI
MySQL
Docker
AWS</t>
        </is>
      </c>
      <c r="F19" s="44" t="n"/>
      <c r="G19" s="44" t="n"/>
      <c r="H19" s="47" t="n"/>
      <c r="I19" s="42" t="inlineStr">
        <is>
          <t>●</t>
        </is>
      </c>
      <c r="J19" s="42" t="inlineStr">
        <is>
          <t>●</t>
        </is>
      </c>
      <c r="K19" s="42" t="inlineStr">
        <is>
          <t>●</t>
        </is>
      </c>
      <c r="L19" s="42" t="inlineStr">
        <is>
          <t>●</t>
        </is>
      </c>
    </row>
    <row r="20">
      <c r="A20" s="43">
        <f>A18+1</f>
        <v/>
      </c>
      <c r="B20" s="46" t="inlineStr">
        <is>
          <t>2023年7月
↑
2022年10月
10ヶ月</t>
        </is>
      </c>
      <c r="C20" s="45" t="inlineStr">
        <is>
          <t>日本マイクロソフト株式会社
テクニカルサポートエンジニア
作業概要
　Azure (App Service)についてのサポートエンジニアとしてお客様対応
　ドキュメントの整備を実施し、チーム内でナレッジを共有し質問等のコストを削減</t>
        </is>
      </c>
      <c r="D20" s="41" t="inlineStr">
        <is>
          <t>役割: SE
体制: 30名</t>
        </is>
      </c>
      <c r="E20" s="41" t="inlineStr">
        <is>
          <t>Azure
 App Service
 Functions
 Container Apps</t>
        </is>
      </c>
      <c r="F20" s="42" t="inlineStr">
        <is>
          <t>●</t>
        </is>
      </c>
      <c r="G20" s="44" t="n"/>
      <c r="H20" s="44" t="n"/>
      <c r="I20" s="44" t="n"/>
      <c r="J20" s="44" t="n"/>
      <c r="K20" s="44" t="n"/>
      <c r="L20" s="44" t="n"/>
    </row>
    <row r="21">
      <c r="A21" s="43">
        <f>A19+1</f>
        <v/>
      </c>
      <c r="B21" s="46" t="inlineStr">
        <is>
          <t>2022年10月
↑
2021年7月
16ヶ月</t>
        </is>
      </c>
      <c r="C21" s="45" t="inlineStr">
        <is>
          <t>株式会社Luup
IoT/SREエンジニア
作業概要
　モビリティサービスのバックエンド開発担当
　AWS及びGCPを使用したインフラ構築をIaC化することにより開発・運用コストを 50 % 削減
　Github Actions で自動テスト、自動デプロイを導入することにより、手動テスト・構築コストを100% 削減
　ログ監視を導入することによるエラー率の可視化</t>
        </is>
      </c>
      <c r="D21" s="41" t="inlineStr">
        <is>
          <t>役割: PG
体制: 10名</t>
        </is>
      </c>
      <c r="E21" s="41" t="inlineStr">
        <is>
          <t>Typesctipt
GCP
  Firestore
  Firebase
  Monitoring
AWS
  Amplify
  IoT
  Cloudwatch</t>
        </is>
      </c>
      <c r="F21" s="42" t="inlineStr">
        <is>
          <t>●</t>
        </is>
      </c>
      <c r="G21" s="44" t="n"/>
      <c r="H21" s="44" t="n"/>
      <c r="I21" s="44" t="n"/>
      <c r="J21" s="42" t="inlineStr">
        <is>
          <t>●</t>
        </is>
      </c>
      <c r="K21" s="42" t="inlineStr">
        <is>
          <t>●</t>
        </is>
      </c>
      <c r="L21" s="42" t="inlineStr">
        <is>
          <t>●</t>
        </is>
      </c>
    </row>
    <row r="22">
      <c r="A22" s="43">
        <f>A20+1</f>
        <v/>
      </c>
      <c r="B22" s="46" t="inlineStr">
        <is>
          <t>2022年7月
↑
2022年3月
5ヶ月</t>
        </is>
      </c>
      <c r="C22" s="45" t="inlineStr">
        <is>
          <t>株式会社スナックミー
バックエンドエンジニア
作業概要
　お菓子サービスのバックエンド開発担当
　自社カスタムライブラリを作成することにより 40 % の開発コストの削減</t>
        </is>
      </c>
      <c r="D22" s="41" t="inlineStr">
        <is>
          <t>役割: PG
体制: 6名</t>
        </is>
      </c>
      <c r="E22" s="41" t="inlineStr">
        <is>
          <t>Python3.9
FastAPI
MySQL8.0
Docker
AWS
  Lambda
  Step Function</t>
        </is>
      </c>
      <c r="F22" s="42" t="inlineStr">
        <is>
          <t>●</t>
        </is>
      </c>
      <c r="G22" s="44" t="n"/>
      <c r="H22" s="44" t="n"/>
      <c r="I22" s="44" t="n"/>
      <c r="J22" s="42" t="inlineStr">
        <is>
          <t>●</t>
        </is>
      </c>
      <c r="K22" s="42" t="inlineStr">
        <is>
          <t>●</t>
        </is>
      </c>
      <c r="L22" s="42" t="inlineStr">
        <is>
          <t>●</t>
        </is>
      </c>
    </row>
    <row r="23">
      <c r="A23" s="43">
        <f>A21+1</f>
        <v/>
      </c>
      <c r="B23" s="46" t="inlineStr">
        <is>
          <t>2021年11月
↑
2021年4月
8ヶ月</t>
        </is>
      </c>
      <c r="C23" s="45" t="inlineStr">
        <is>
          <t xml:space="preserve">アシアル株式会社
ソフトウェアエンジニア
作業概要
　新卒採用システムの運用・保守担当
　大学入試合否システムのバックエンド開発担当(DB設計、ソフトウェアデザインとアーキテクチャ)
　スクラッチでバックエンドを 1 人で要件定義からテスト・リリースまで実施
　MySQL のパフォーマンスチューニングを実施し、 Web サイトの 描画を 20 sec から 1 sec まで改善 </t>
        </is>
      </c>
      <c r="D23" s="41" t="inlineStr">
        <is>
          <t>役割: SE
体制: 5名</t>
        </is>
      </c>
      <c r="E23" s="41" t="inlineStr">
        <is>
          <t xml:space="preserve">Typescript
NestJS
MySQL8.0
Nginx
Docker
</t>
        </is>
      </c>
      <c r="F23" s="42" t="inlineStr">
        <is>
          <t>●</t>
        </is>
      </c>
      <c r="G23" s="42" t="inlineStr">
        <is>
          <t>●</t>
        </is>
      </c>
      <c r="H23" s="42" t="inlineStr">
        <is>
          <t>●</t>
        </is>
      </c>
      <c r="I23" s="42" t="inlineStr">
        <is>
          <t>●</t>
        </is>
      </c>
      <c r="J23" s="42" t="inlineStr">
        <is>
          <t>●</t>
        </is>
      </c>
      <c r="K23" s="42" t="inlineStr">
        <is>
          <t>●</t>
        </is>
      </c>
      <c r="L23" s="42" t="inlineStr">
        <is>
          <t>●</t>
        </is>
      </c>
    </row>
    <row r="24">
      <c r="A24" s="43">
        <f>A22+1</f>
        <v/>
      </c>
      <c r="B24" s="46" t="inlineStr">
        <is>
          <t>2021年3月
↑
2020年3月
13ヶ月</t>
        </is>
      </c>
      <c r="C24" s="45" t="inlineStr">
        <is>
          <t>株式会社T2Lab
ソフトウェアエンジニア
作業概要
　AIニオイセンサーサービスの開発担当(DB設計、クラウドアーキテクチャ設計)
　スクラッチでアプリ開発を実施し、開発からリリースまで実施
　scikit-learn を使用したニオイセンサーモデルの開発担当</t>
        </is>
      </c>
      <c r="D24" s="41" t="inlineStr">
        <is>
          <t>役割: SE
体制: 6名</t>
        </is>
      </c>
      <c r="E24" s="41" t="inlineStr">
        <is>
          <t>Python3.8
Flask
AWS
  Lambda
  API GW
  DynamoDB
ReactJS</t>
        </is>
      </c>
      <c r="F24" s="42" t="inlineStr">
        <is>
          <t>●</t>
        </is>
      </c>
      <c r="G24" s="42" t="inlineStr">
        <is>
          <t>●</t>
        </is>
      </c>
      <c r="H24" s="42" t="inlineStr">
        <is>
          <t>●</t>
        </is>
      </c>
      <c r="I24" s="42" t="inlineStr">
        <is>
          <t>●</t>
        </is>
      </c>
      <c r="J24" s="42" t="inlineStr">
        <is>
          <t>●</t>
        </is>
      </c>
      <c r="K24" s="42" t="inlineStr">
        <is>
          <t>●</t>
        </is>
      </c>
      <c r="L24" s="42" t="inlineStr">
        <is>
          <t>●</t>
        </is>
      </c>
    </row>
    <row r="25">
      <c r="A25" s="43">
        <f>A23+1</f>
        <v/>
      </c>
      <c r="B25" s="46" t="inlineStr">
        <is>
          <t>2020年2月
↑
2017年2月
37ヶ月</t>
        </is>
      </c>
      <c r="C25" s="45" t="inlineStr">
        <is>
          <t>株式会社マイクロ・シー・エー・デー
・ソフトウェアエンジニア
・情報システム部門：室長
作業概要
　特許管理システムの開発
　10人規模のチームリーダーを担当
　ウェブサイトのパフォーマンスチューニングを実施し、15 sec から 2 sec に改善
　システムをオンプレミスからクラウドサービスへの移行の実施 + Cloud Formation にて自動構築
　15人規模の室長を担当し、社内のインフラ管理、マネジメントを担当
　社内で勉強会を開催の主催を担当するなど会社内でコミュニケーションやナレッジ共有の場を構築
　社内用勤怠管理システムをスクラッチで 1 カ月 で構築(データベース設計,ソフトウェアデザインとアーキテクチャ)</t>
        </is>
      </c>
      <c r="D25" s="41" t="inlineStr">
        <is>
          <t>役割: PL
体制: 10名</t>
        </is>
      </c>
      <c r="E25" s="41" t="inlineStr">
        <is>
          <t>PHP5.5
MySQL5.6
HTML/CSS
JS
Python
 Flask
AWS
 RDS
 EC2
 VPC
 Lambda
 DynamoDB</t>
        </is>
      </c>
      <c r="F25" s="42" t="inlineStr">
        <is>
          <t>●</t>
        </is>
      </c>
      <c r="G25" s="42" t="inlineStr">
        <is>
          <t>●</t>
        </is>
      </c>
      <c r="H25" s="42" t="inlineStr">
        <is>
          <t>●</t>
        </is>
      </c>
      <c r="I25" s="42" t="inlineStr">
        <is>
          <t>●</t>
        </is>
      </c>
      <c r="J25" s="42" t="inlineStr">
        <is>
          <t>●</t>
        </is>
      </c>
      <c r="K25" s="42" t="inlineStr">
        <is>
          <t>●</t>
        </is>
      </c>
      <c r="L25" s="42" t="inlineStr">
        <is>
          <t>●</t>
        </is>
      </c>
    </row>
    <row r="26">
      <c r="A26" s="43">
        <f>A24+1</f>
        <v/>
      </c>
      <c r="B26" s="48" t="inlineStr">
        <is>
          <t>2017年1月
↑
2015年4月
22ヶ月</t>
        </is>
      </c>
      <c r="C26" s="45" t="inlineStr">
        <is>
          <t>株式会社シンカーミクセル
インフラエンジニア
作業概要
　大手通信会社でのビジネス向けネットワーク構築担当
　VBAによる社員の毎日のルーティンワークを自動化することにより 100 % 自動化
　ドキュメント整備することによるチーム内でのナレッジ共有の場を構築</t>
        </is>
      </c>
      <c r="D26" s="41" t="inlineStr">
        <is>
          <t>役割: SE
体制: 20名</t>
        </is>
      </c>
      <c r="E26" s="41" t="inlineStr">
        <is>
          <t>Linux</t>
        </is>
      </c>
      <c r="F26" s="44" t="n"/>
      <c r="G26" s="44" t="n"/>
      <c r="H26" s="44" t="n"/>
      <c r="I26" s="44" t="n"/>
      <c r="J26" s="44" t="n"/>
      <c r="K26" s="44" t="n"/>
      <c r="L26" s="42" t="inlineStr">
        <is>
          <t>●</t>
        </is>
      </c>
    </row>
  </sheetData>
  <mergeCells count="26">
    <mergeCell ref="G2:H2"/>
    <mergeCell ref="C8:L8"/>
    <mergeCell ref="A11:B11"/>
    <mergeCell ref="I2:J2"/>
    <mergeCell ref="K3:L3"/>
    <mergeCell ref="C7:L7"/>
    <mergeCell ref="C13:L13"/>
    <mergeCell ref="E4:F4"/>
    <mergeCell ref="G4:L4"/>
    <mergeCell ref="C6:L6"/>
    <mergeCell ref="G3:H3"/>
    <mergeCell ref="A12:B12"/>
    <mergeCell ref="I3:J3"/>
    <mergeCell ref="C5:L5"/>
    <mergeCell ref="E2:F2"/>
    <mergeCell ref="K2:L2"/>
    <mergeCell ref="C10:L10"/>
    <mergeCell ref="A5:A10"/>
    <mergeCell ref="A2:B4"/>
    <mergeCell ref="C2:D4"/>
    <mergeCell ref="C9:L9"/>
    <mergeCell ref="A1:L1"/>
    <mergeCell ref="A13:B13"/>
    <mergeCell ref="C12:L12"/>
    <mergeCell ref="E3:F3"/>
    <mergeCell ref="C11:L11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2026-05-20T13:58:02Z</dcterms:created>
  <dcterms:modified xsi:type="dcterms:W3CDTF">2026-05-20T14:18:32Z</dcterms:modified>
</cp:coreProperties>
</file>